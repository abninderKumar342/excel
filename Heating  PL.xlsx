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vind\Dropbox\PC\Downloads\"/>
    </mc:Choice>
  </mc:AlternateContent>
  <bookViews>
    <workbookView xWindow="0" yWindow="0" windowWidth="23040" windowHeight="9756" tabRatio="500" activeTab="3"/>
  </bookViews>
  <sheets>
    <sheet name="Assumptions" sheetId="1" r:id="rId1"/>
    <sheet name="P&amp;L Model" sheetId="2" r:id="rId2"/>
    <sheet name="Scenario Analysis" sheetId="3" r:id="rId3"/>
    <sheet name="Dashboard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3" l="1"/>
  <c r="C12" i="3"/>
  <c r="B12" i="3"/>
  <c r="D10" i="3"/>
  <c r="D11" i="3" s="1"/>
  <c r="C10" i="3"/>
  <c r="C11" i="3" s="1"/>
  <c r="B10" i="3"/>
  <c r="B11" i="3" s="1"/>
  <c r="D33" i="2"/>
  <c r="C33" i="2"/>
  <c r="B33" i="2"/>
  <c r="B10" i="2"/>
  <c r="D8" i="2"/>
  <c r="C8" i="2"/>
  <c r="B8" i="2"/>
  <c r="D7" i="2"/>
  <c r="C7" i="2"/>
  <c r="B7" i="2"/>
  <c r="D6" i="2"/>
  <c r="D9" i="2" s="1"/>
  <c r="C6" i="2"/>
  <c r="C9" i="2" s="1"/>
  <c r="B6" i="2"/>
  <c r="B9" i="2" s="1"/>
  <c r="B6" i="4" l="1"/>
  <c r="B23" i="2"/>
  <c r="B10" i="4"/>
  <c r="B17" i="2"/>
  <c r="B24" i="2"/>
  <c r="B13" i="2"/>
  <c r="B15" i="2" s="1"/>
  <c r="B21" i="2"/>
  <c r="B14" i="2"/>
  <c r="B22" i="2"/>
  <c r="C23" i="2"/>
  <c r="C10" i="2"/>
  <c r="C14" i="2"/>
  <c r="C22" i="2"/>
  <c r="C10" i="4"/>
  <c r="C24" i="2"/>
  <c r="C13" i="2"/>
  <c r="C21" i="2"/>
  <c r="C6" i="4"/>
  <c r="D14" i="3"/>
  <c r="D15" i="3" s="1"/>
  <c r="D16" i="3" s="1"/>
  <c r="D14" i="2"/>
  <c r="D10" i="4"/>
  <c r="D22" i="2"/>
  <c r="D21" i="2"/>
  <c r="D6" i="4"/>
  <c r="D23" i="2"/>
  <c r="D10" i="2"/>
  <c r="D24" i="2"/>
  <c r="D13" i="2"/>
  <c r="B13" i="3"/>
  <c r="B14" i="3" s="1"/>
  <c r="B15" i="3" s="1"/>
  <c r="B16" i="3" s="1"/>
  <c r="C13" i="3"/>
  <c r="C14" i="3" s="1"/>
  <c r="C15" i="3" s="1"/>
  <c r="C16" i="3" s="1"/>
  <c r="D13" i="3"/>
  <c r="D15" i="2" l="1"/>
  <c r="D17" i="2" s="1"/>
  <c r="B25" i="2"/>
  <c r="B27" i="2"/>
  <c r="B28" i="2" s="1"/>
  <c r="B11" i="4"/>
  <c r="B29" i="2"/>
  <c r="B18" i="2"/>
  <c r="B28" i="4" s="1"/>
  <c r="E6" i="4"/>
  <c r="C25" i="2"/>
  <c r="D25" i="2"/>
  <c r="C15" i="2"/>
  <c r="C17" i="2" s="1"/>
  <c r="B34" i="2" l="1"/>
  <c r="H6" i="4"/>
  <c r="B12" i="4"/>
  <c r="B30" i="2"/>
  <c r="B29" i="4" s="1"/>
  <c r="C11" i="4"/>
  <c r="C29" i="2"/>
  <c r="C18" i="2"/>
  <c r="C28" i="4" s="1"/>
  <c r="F6" i="4"/>
  <c r="C27" i="2"/>
  <c r="C28" i="2" s="1"/>
  <c r="D29" i="2"/>
  <c r="D18" i="2"/>
  <c r="D28" i="4" s="1"/>
  <c r="G6" i="4"/>
  <c r="D27" i="2"/>
  <c r="D28" i="2" s="1"/>
  <c r="D11" i="4"/>
  <c r="J6" i="4" l="1"/>
  <c r="D12" i="4"/>
  <c r="D30" i="2"/>
  <c r="D29" i="4" s="1"/>
  <c r="D34" i="2"/>
  <c r="C34" i="2"/>
  <c r="I6" i="4"/>
  <c r="C12" i="4"/>
  <c r="C30" i="2"/>
  <c r="C29" i="4" s="1"/>
  <c r="B35" i="2"/>
  <c r="B37" i="2" s="1"/>
  <c r="B38" i="2" l="1"/>
  <c r="B30" i="4" s="1"/>
  <c r="B13" i="4"/>
  <c r="K6" i="4"/>
  <c r="C35" i="2"/>
  <c r="C37" i="2" s="1"/>
  <c r="D35" i="2"/>
  <c r="D37" i="2" s="1"/>
  <c r="D13" i="4" l="1"/>
  <c r="M6" i="4"/>
  <c r="D38" i="2"/>
  <c r="D30" i="4" s="1"/>
  <c r="C13" i="4"/>
  <c r="L6" i="4"/>
  <c r="C38" i="2"/>
  <c r="C30" i="4" s="1"/>
</calcChain>
</file>

<file path=xl/sharedStrings.xml><?xml version="1.0" encoding="utf-8"?>
<sst xmlns="http://schemas.openxmlformats.org/spreadsheetml/2006/main" count="115" uniqueCount="87">
  <si>
    <t>SMALL BUSINESS P&amp;L MODEL  ·  ASSUMPTIONS &amp; DRIVERS</t>
  </si>
  <si>
    <t>HeatingPro Services Pvt. Ltd.  |  FY 2024–2026 Projections</t>
  </si>
  <si>
    <t>COLOR LEGEND</t>
  </si>
  <si>
    <t>Blue text = Hard-coded input (change for scenarios)</t>
  </si>
  <si>
    <t>Black text = Formula (do not edit)</t>
  </si>
  <si>
    <t>Green text = Cross-sheet link</t>
  </si>
  <si>
    <t>Red text = External link</t>
  </si>
  <si>
    <t xml:space="preserve">  REVENUE ASSUMPTIONS</t>
  </si>
  <si>
    <t>FY 2024A</t>
  </si>
  <si>
    <t>FY 2025E</t>
  </si>
  <si>
    <t>FY 2026E</t>
  </si>
  <si>
    <t xml:space="preserve">  Installation Revenue (₹)</t>
  </si>
  <si>
    <t xml:space="preserve">  AMC Contracts Revenue (₹)</t>
  </si>
  <si>
    <t xml:space="preserve">  Repair &amp; Service Revenue (₹)</t>
  </si>
  <si>
    <t xml:space="preserve">  Revenue Growth YoY</t>
  </si>
  <si>
    <t xml:space="preserve">  COST ASSUMPTIONS  (% of Total Revenue)</t>
  </si>
  <si>
    <t xml:space="preserve">  Material / COGS %</t>
  </si>
  <si>
    <t xml:space="preserve">  Labour Cost %</t>
  </si>
  <si>
    <t xml:space="preserve">  Rent &amp; Utilities %</t>
  </si>
  <si>
    <t xml:space="preserve">  Marketing &amp; Ads %</t>
  </si>
  <si>
    <t xml:space="preserve">  Admin &amp; Overheads %</t>
  </si>
  <si>
    <t xml:space="preserve">  Depreciation %</t>
  </si>
  <si>
    <t xml:space="preserve">  TAX &amp; OTHER ASSUMPTIONS</t>
  </si>
  <si>
    <t xml:space="preserve">  Corporate Tax Rate %</t>
  </si>
  <si>
    <t xml:space="preserve">  Interest Expense (₹)</t>
  </si>
  <si>
    <t xml:space="preserve">  ★  All blue cells are inputs — change them to model different scenarios (e.g., revenue growth +5%, margins +2%)</t>
  </si>
  <si>
    <t>PROFIT &amp; LOSS STATEMENT  ·  HeatingPro Services Pvt. Ltd.</t>
  </si>
  <si>
    <t>All figures in ₹  |  Inputs sourced from Assumptions sheet</t>
  </si>
  <si>
    <t xml:space="preserve">  Line Item</t>
  </si>
  <si>
    <t xml:space="preserve">  REVENUE</t>
  </si>
  <si>
    <t xml:space="preserve">  Installation Revenue</t>
  </si>
  <si>
    <t xml:space="preserve">  AMC Contracts Revenue</t>
  </si>
  <si>
    <t xml:space="preserve">  Repair &amp; Service Revenue</t>
  </si>
  <si>
    <t xml:space="preserve">  TOTAL REVENUE</t>
  </si>
  <si>
    <t xml:space="preserve">    Revenue Growth %</t>
  </si>
  <si>
    <t xml:space="preserve">  COST OF GOODS SOLD</t>
  </si>
  <si>
    <t xml:space="preserve">  Material / COGS</t>
  </si>
  <si>
    <t xml:space="preserve">  Labour Cost</t>
  </si>
  <si>
    <t xml:space="preserve">  TOTAL COGS</t>
  </si>
  <si>
    <t xml:space="preserve">  GROSS PROFIT</t>
  </si>
  <si>
    <t xml:space="preserve">    Gross Margin %</t>
  </si>
  <si>
    <t xml:space="preserve">  OPERATING EXPENSES (OPEX)</t>
  </si>
  <si>
    <t xml:space="preserve">  Rent &amp; Utilities</t>
  </si>
  <si>
    <t xml:space="preserve">  Marketing &amp; Advertising</t>
  </si>
  <si>
    <t xml:space="preserve">  Admin &amp; Overheads</t>
  </si>
  <si>
    <t xml:space="preserve">  Depreciation</t>
  </si>
  <si>
    <t xml:space="preserve">  TOTAL OPEX</t>
  </si>
  <si>
    <t xml:space="preserve">  EBITDA  (Gross Profit – OPEX + D&amp;A)</t>
  </si>
  <si>
    <t xml:space="preserve">    EBITDA Margin %</t>
  </si>
  <si>
    <t xml:space="preserve">  EBIT  (Operating Profit)</t>
  </si>
  <si>
    <t xml:space="preserve">    EBIT Margin %</t>
  </si>
  <si>
    <t xml:space="preserve">  BELOW THE LINE</t>
  </si>
  <si>
    <t xml:space="preserve">  Interest Expense</t>
  </si>
  <si>
    <t xml:space="preserve">  EBT  (Earnings Before Tax)</t>
  </si>
  <si>
    <t xml:space="preserve">  Tax Expense</t>
  </si>
  <si>
    <t xml:space="preserve">  NET PROFIT (PAT)</t>
  </si>
  <si>
    <t xml:space="preserve">    Net Profit Margin %</t>
  </si>
  <si>
    <t xml:space="preserve">  ★  Go to the Assumptions sheet to change inputs — this model recalculates automatically.</t>
  </si>
  <si>
    <t>SCENARIO ANALYSIS  ·  FY 2025 Projections</t>
  </si>
  <si>
    <t xml:space="preserve">  Metric</t>
  </si>
  <si>
    <t>Bear Case</t>
  </si>
  <si>
    <t>Base Case</t>
  </si>
  <si>
    <t>Bull Case</t>
  </si>
  <si>
    <t xml:space="preserve">  KEY ASSUMPTION</t>
  </si>
  <si>
    <t xml:space="preserve">  Revenue Growth Assumption</t>
  </si>
  <si>
    <t xml:space="preserve">  Gross Margin Assumption</t>
  </si>
  <si>
    <t xml:space="preserve">  OPEX % of Revenue</t>
  </si>
  <si>
    <t xml:space="preserve">  OUTPUT PROJECTIONS  (FY 2025E)</t>
  </si>
  <si>
    <t xml:space="preserve">  Total Revenue (₹)</t>
  </si>
  <si>
    <t xml:space="preserve">  Gross Profit (₹)</t>
  </si>
  <si>
    <t xml:space="preserve">  Gross Margin %</t>
  </si>
  <si>
    <t xml:space="preserve">  OPEX (₹)</t>
  </si>
  <si>
    <t xml:space="preserve">  EBIT (₹)</t>
  </si>
  <si>
    <t xml:space="preserve">  Net Profit (₹)  @25% tax</t>
  </si>
  <si>
    <t xml:space="preserve">  Net Margin %</t>
  </si>
  <si>
    <t>MANAGEMENT DASHBOARD  ·  HeatingPro Services Pvt. Ltd.</t>
  </si>
  <si>
    <t>Key performance indicators  ·  Data sourced from P&amp;L Model sheet</t>
  </si>
  <si>
    <t>Total Revenue</t>
  </si>
  <si>
    <t>Gross Profit</t>
  </si>
  <si>
    <t>EBIT</t>
  </si>
  <si>
    <t>Net Profit</t>
  </si>
  <si>
    <t>FY24A</t>
  </si>
  <si>
    <t>FY25E</t>
  </si>
  <si>
    <t>FY26E</t>
  </si>
  <si>
    <t>Gross Margin %</t>
  </si>
  <si>
    <t>EBIT Margin %</t>
  </si>
  <si>
    <t>Net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</si>
</sst>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;\(#,##0\);\-"/>
    <numFmt numFmtId="166" formatCode="0.0%;\(0.0%\);\-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1"/>
      <color rgb="FFDBEAFE"/>
      <name val="Arial"/>
      <charset val="1"/>
    </font>
    <font>
      <b/>
      <sz val="10"/>
      <color rgb="FF6B728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9"/>
      <color rgb="FF008000"/>
      <name val="Arial"/>
      <charset val="1"/>
    </font>
    <font>
      <sz val="9"/>
      <color rgb="FFFF0000"/>
      <name val="Arial"/>
      <charset val="1"/>
    </font>
    <font>
      <b/>
      <sz val="11"/>
      <color rgb="FF1B3A6B"/>
      <name val="Arial"/>
      <charset val="1"/>
    </font>
    <font>
      <b/>
      <sz val="10"/>
      <color rgb="FF1B3A6B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D97706"/>
      <name val="Arial"/>
      <charset val="1"/>
    </font>
    <font>
      <i/>
      <sz val="10"/>
      <color rgb="FFDBEAFE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sz val="10"/>
      <color rgb="FF6B7280"/>
      <name val="Arial"/>
      <charset val="1"/>
    </font>
    <font>
      <b/>
      <sz val="12"/>
      <color rgb="FFFFFFFF"/>
      <name val="Arial"/>
      <charset val="1"/>
    </font>
    <font>
      <b/>
      <sz val="11"/>
      <color rgb="FF0000FF"/>
      <name val="Arial"/>
      <charset val="1"/>
    </font>
    <font>
      <sz val="9"/>
      <color rgb="FF6B7280"/>
      <name val="Arial"/>
      <charset val="1"/>
    </font>
    <font>
      <b/>
      <sz val="11"/>
      <color rgb="FF008000"/>
      <name val="Arial"/>
      <charset val="1"/>
    </font>
    <font>
      <b/>
      <sz val="9"/>
      <color rgb="FF6B7280"/>
      <name val="Arial"/>
      <charset val="1"/>
    </font>
    <font>
      <b/>
      <sz val="9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EB"/>
        <bgColor rgb="FF4A7EBB"/>
      </patternFill>
    </fill>
    <fill>
      <patternFill patternType="solid">
        <fgColor rgb="FFDBEAFE"/>
        <bgColor rgb="FFEFF6FF"/>
      </patternFill>
    </fill>
    <fill>
      <patternFill patternType="solid">
        <fgColor rgb="FFEFF6FF"/>
        <bgColor rgb="FFF9F9F9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EFF6FF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B3A6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9" fillId="4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3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9" fillId="5" borderId="1" xfId="0" applyFont="1" applyFill="1" applyBorder="1"/>
    <xf numFmtId="0" fontId="14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165" fontId="15" fillId="4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66" fontId="16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15" fillId="8" borderId="0" xfId="0" applyFont="1" applyFill="1" applyAlignment="1">
      <alignment horizontal="left" vertical="center"/>
    </xf>
    <xf numFmtId="165" fontId="15" fillId="8" borderId="1" xfId="0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165" fontId="17" fillId="2" borderId="0" xfId="0" applyNumberFormat="1" applyFont="1" applyFill="1" applyAlignment="1">
      <alignment horizontal="center" vertical="center"/>
    </xf>
    <xf numFmtId="164" fontId="18" fillId="7" borderId="2" xfId="0" applyNumberFormat="1" applyFont="1" applyFill="1" applyBorder="1" applyAlignment="1">
      <alignment horizontal="center" vertical="center"/>
    </xf>
    <xf numFmtId="164" fontId="18" fillId="6" borderId="2" xfId="0" applyNumberFormat="1" applyFont="1" applyFill="1" applyBorder="1" applyAlignment="1">
      <alignment horizontal="center" vertical="center"/>
    </xf>
    <xf numFmtId="164" fontId="18" fillId="8" borderId="2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165" fontId="10" fillId="8" borderId="2" xfId="0" applyNumberFormat="1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15" fillId="7" borderId="2" xfId="0" applyNumberFormat="1" applyFont="1" applyFill="1" applyBorder="1" applyAlignment="1">
      <alignment horizontal="center" vertical="center"/>
    </xf>
    <xf numFmtId="165" fontId="15" fillId="6" borderId="2" xfId="0" applyNumberFormat="1" applyFont="1" applyFill="1" applyBorder="1" applyAlignment="1">
      <alignment horizontal="center" vertical="center"/>
    </xf>
    <xf numFmtId="165" fontId="15" fillId="8" borderId="2" xfId="0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165" fontId="20" fillId="9" borderId="2" xfId="0" applyNumberFormat="1" applyFont="1" applyFill="1" applyBorder="1" applyAlignment="1">
      <alignment horizontal="center" vertical="center"/>
    </xf>
    <xf numFmtId="0" fontId="21" fillId="0" borderId="0" xfId="0" applyFont="1"/>
    <xf numFmtId="0" fontId="19" fillId="0" borderId="0" xfId="0" applyFont="1"/>
    <xf numFmtId="3" fontId="0" fillId="0" borderId="0" xfId="0" applyNumberFormat="1"/>
    <xf numFmtId="0" fontId="22" fillId="0" borderId="0" xfId="0" applyFont="1"/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EF3C7"/>
      <rgbColor rgb="FFDCFCE7"/>
      <rgbColor rgb="FF660066"/>
      <rgbColor rgb="FFFF8080"/>
      <rgbColor rgb="FF4A7EBB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9F9F9"/>
      <rgbColor rgb="FF99CCFF"/>
      <rgbColor rgb="FFFF99CC"/>
      <rgbColor rgb="FFCC99FF"/>
      <rgbColor rgb="FFFEE2E2"/>
      <rgbColor rgb="FF2563EB"/>
      <rgbColor rgb="FF33CCCC"/>
      <rgbColor rgb="FF98B855"/>
      <rgbColor rgb="FFFFCC00"/>
      <rgbColor rgb="FFFF9900"/>
      <rgbColor rgb="FFD97706"/>
      <rgbColor rgb="FF6B7280"/>
      <rgbColor rgb="FF9BBB59"/>
      <rgbColor rgb="FF1B3A6B"/>
      <rgbColor rgb="FF16A34A"/>
      <rgbColor rgb="FF003300"/>
      <rgbColor rgb="FF333300"/>
      <rgbColor rgb="FF993300"/>
      <rgbColor rgb="FFC0504D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vs Gross Profit vs Net Profit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FY 2024A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Total Revenue</c:v>
                </c:pt>
                <c:pt idx="1">
                  <c:v>Gross Profit</c:v>
                </c:pt>
                <c:pt idx="2">
                  <c:v>EBIT</c:v>
                </c:pt>
                <c:pt idx="3">
                  <c:v>Net Profit</c:v>
                </c:pt>
              </c:strCache>
            </c:strRef>
          </c:cat>
          <c:val>
            <c:numRef>
              <c:f>Dashboard!$B$10:$B$13</c:f>
              <c:numCache>
                <c:formatCode>#,##0</c:formatCode>
                <c:ptCount val="4"/>
                <c:pt idx="0">
                  <c:v>5500000</c:v>
                </c:pt>
                <c:pt idx="1">
                  <c:v>2200000</c:v>
                </c:pt>
                <c:pt idx="2">
                  <c:v>1430000</c:v>
                </c:pt>
                <c:pt idx="3">
                  <c:v>1012500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483F-A153-DB8C1E7AA7BF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FY 2025E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Total Revenue</c:v>
                </c:pt>
                <c:pt idx="1">
                  <c:v>Gross Profit</c:v>
                </c:pt>
                <c:pt idx="2">
                  <c:v>EBIT</c:v>
                </c:pt>
                <c:pt idx="3">
                  <c:v>Net Profit</c:v>
                </c:pt>
              </c:strCache>
            </c:strRef>
          </c:cat>
          <c:val>
            <c:numRef>
              <c:f>Dashboard!$C$10:$C$13</c:f>
              <c:numCache>
                <c:formatCode>#,##0</c:formatCode>
                <c:ptCount val="4"/>
                <c:pt idx="0">
                  <c:v>6650000</c:v>
                </c:pt>
                <c:pt idx="1">
                  <c:v>2859500</c:v>
                </c:pt>
                <c:pt idx="2">
                  <c:v>1862000</c:v>
                </c:pt>
                <c:pt idx="3">
                  <c:v>1344000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8-483F-A153-DB8C1E7AA7BF}"/>
            </c:ext>
          </c:extLst>
        </c:ser>
        <c:ser>
          <c:idx val="2"/>
          <c:order val="2"/>
          <c:tx>
            <c:strRef>
              <c:f>Dashboard!$D$9</c:f>
              <c:strCache>
                <c:ptCount val="1"/>
                <c:pt idx="0">
                  <c:v>FY 2026E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Total Revenue</c:v>
                </c:pt>
                <c:pt idx="1">
                  <c:v>Gross Profit</c:v>
                </c:pt>
                <c:pt idx="2">
                  <c:v>EBIT</c:v>
                </c:pt>
                <c:pt idx="3">
                  <c:v>Net Profit</c:v>
                </c:pt>
              </c:strCache>
            </c:strRef>
          </c:cat>
          <c:val>
            <c:numRef>
              <c:f>Dashboard!$D$10:$D$13</c:f>
              <c:numCache>
                <c:formatCode>#,##0</c:formatCode>
                <c:ptCount val="4"/>
                <c:pt idx="0">
                  <c:v>8000000</c:v>
                </c:pt>
                <c:pt idx="1">
                  <c:v>3680000</c:v>
                </c:pt>
                <c:pt idx="2">
                  <c:v>2640000</c:v>
                </c:pt>
                <c:pt idx="3">
                  <c:v>1935000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48-483F-A153-DB8C1E7AA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76882"/>
        <c:axId val="70548454"/>
      </c:barChart>
      <c:catAx>
        <c:axId val="108768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48454"/>
        <c:crosses val="autoZero"/>
        <c:auto val="1"/>
        <c:lblAlgn val="ctr"/>
        <c:lblOffset val="100"/>
        <c:noMultiLvlLbl val="0"/>
      </c:catAx>
      <c:valAx>
        <c:axId val="70548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(Indian Rupees)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76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Margin Trend Analysis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Dashboard!$B$27</c:f>
              <c:strCache>
                <c:ptCount val="1"/>
                <c:pt idx="0">
                  <c:v>FY 2024A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Dashboard!$A$28:$A$30</c:f>
              <c:strCache>
                <c:ptCount val="3"/>
                <c:pt idx="0">
                  <c:v>Gross Margin %</c:v>
                </c:pt>
                <c:pt idx="1">
                  <c:v>EBIT Margin %</c:v>
                </c:pt>
                <c:pt idx="2">
                  <c:v>Net Margin %</c:v>
                </c:pt>
              </c:strCache>
            </c:strRef>
          </c:cat>
          <c:val>
            <c:numRef>
              <c:f>Dashboard!$B$28:$B$30</c:f>
              <c:numCache>
                <c:formatCode>0.0%</c:formatCode>
                <c:ptCount val="3"/>
                <c:pt idx="0">
                  <c:v>0.4</c:v>
                </c:pt>
                <c:pt idx="1">
                  <c:v>0.26</c:v>
                </c:pt>
                <c:pt idx="2">
                  <c:v>0.18409090909090908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2D-43AF-AC96-F7F395197423}"/>
            </c:ext>
          </c:extLst>
        </c:ser>
        <c:ser>
          <c:idx val="1"/>
          <c:order val="1"/>
          <c:tx>
            <c:strRef>
              <c:f>Dashboard!$C$27</c:f>
              <c:strCache>
                <c:ptCount val="1"/>
                <c:pt idx="0">
                  <c:v>FY 2025E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Dashboard!$A$28:$A$30</c:f>
              <c:strCache>
                <c:ptCount val="3"/>
                <c:pt idx="0">
                  <c:v>Gross Margin %</c:v>
                </c:pt>
                <c:pt idx="1">
                  <c:v>EBIT Margin %</c:v>
                </c:pt>
                <c:pt idx="2">
                  <c:v>Net Margin %</c:v>
                </c:pt>
              </c:strCache>
            </c:strRef>
          </c:cat>
          <c:val>
            <c:numRef>
              <c:f>Dashboard!$C$28:$C$30</c:f>
              <c:numCache>
                <c:formatCode>0.0%</c:formatCode>
                <c:ptCount val="3"/>
                <c:pt idx="0">
                  <c:v>0.43</c:v>
                </c:pt>
                <c:pt idx="1">
                  <c:v>0.28000000000000003</c:v>
                </c:pt>
                <c:pt idx="2">
                  <c:v>0.20210526315789473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2D-43AF-AC96-F7F395197423}"/>
            </c:ext>
          </c:extLst>
        </c:ser>
        <c:ser>
          <c:idx val="2"/>
          <c:order val="2"/>
          <c:tx>
            <c:strRef>
              <c:f>Dashboard!$D$27</c:f>
              <c:strCache>
                <c:ptCount val="1"/>
                <c:pt idx="0">
                  <c:v>FY 2026E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Dashboard!$A$28:$A$30</c:f>
              <c:strCache>
                <c:ptCount val="3"/>
                <c:pt idx="0">
                  <c:v>Gross Margin %</c:v>
                </c:pt>
                <c:pt idx="1">
                  <c:v>EBIT Margin %</c:v>
                </c:pt>
                <c:pt idx="2">
                  <c:v>Net Margin %</c:v>
                </c:pt>
              </c:strCache>
            </c:strRef>
          </c:cat>
          <c:val>
            <c:numRef>
              <c:f>Dashboard!$D$28:$D$30</c:f>
              <c:numCache>
                <c:formatCode>0.0%</c:formatCode>
                <c:ptCount val="3"/>
                <c:pt idx="0">
                  <c:v>0.46</c:v>
                </c:pt>
                <c:pt idx="1">
                  <c:v>0.33</c:v>
                </c:pt>
                <c:pt idx="2">
                  <c:v>0.24187500000000001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2D-43AF-AC96-F7F395197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900255"/>
        <c:axId val="27986154"/>
      </c:lineChart>
      <c:catAx>
        <c:axId val="669002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986154"/>
        <c:crosses val="autoZero"/>
        <c:auto val="1"/>
        <c:lblAlgn val="ctr"/>
        <c:lblOffset val="100"/>
        <c:noMultiLvlLbl val="0"/>
      </c:catAx>
      <c:valAx>
        <c:axId val="27986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900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11</xdr:col>
      <xdr:colOff>364680</xdr:colOff>
      <xdr:row>37</xdr:row>
      <xdr:rowOff>107640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19</xdr:col>
      <xdr:colOff>364680</xdr:colOff>
      <xdr:row>37</xdr:row>
      <xdr:rowOff>107640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F28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6" width="16" customWidth="1"/>
  </cols>
  <sheetData>
    <row r="1" spans="1:6" ht="36" customHeight="1" x14ac:dyDescent="0.3">
      <c r="A1" s="7" t="s">
        <v>0</v>
      </c>
      <c r="B1" s="7"/>
      <c r="C1" s="7"/>
      <c r="D1" s="7"/>
      <c r="E1" s="7"/>
      <c r="F1" s="7"/>
    </row>
    <row r="2" spans="1:6" ht="24" customHeight="1" x14ac:dyDescent="0.3">
      <c r="A2" s="6" t="s">
        <v>1</v>
      </c>
      <c r="B2" s="6"/>
      <c r="C2" s="6"/>
      <c r="D2" s="6"/>
      <c r="E2" s="6"/>
      <c r="F2" s="6"/>
    </row>
    <row r="4" spans="1:6" x14ac:dyDescent="0.3">
      <c r="A4" s="5" t="s">
        <v>2</v>
      </c>
      <c r="B4" s="5"/>
      <c r="C4" s="5"/>
      <c r="D4" s="5"/>
      <c r="E4" s="5"/>
      <c r="F4" s="5"/>
    </row>
    <row r="5" spans="1:6" x14ac:dyDescent="0.3">
      <c r="B5" s="8" t="s">
        <v>3</v>
      </c>
      <c r="C5" s="9" t="s">
        <v>4</v>
      </c>
      <c r="D5" s="10" t="s">
        <v>5</v>
      </c>
      <c r="E5" s="11" t="s">
        <v>6</v>
      </c>
    </row>
    <row r="7" spans="1:6" ht="21.75" customHeight="1" x14ac:dyDescent="0.3">
      <c r="A7" s="4" t="s">
        <v>7</v>
      </c>
      <c r="B7" s="4"/>
      <c r="C7" s="4"/>
      <c r="D7" s="4"/>
      <c r="E7" s="4"/>
      <c r="F7" s="4"/>
    </row>
    <row r="8" spans="1:6" x14ac:dyDescent="0.3">
      <c r="B8" s="12" t="s">
        <v>8</v>
      </c>
      <c r="C8" s="12" t="s">
        <v>9</v>
      </c>
      <c r="D8" s="12" t="s">
        <v>10</v>
      </c>
    </row>
    <row r="9" spans="1:6" ht="18" customHeight="1" x14ac:dyDescent="0.3">
      <c r="A9" s="13" t="s">
        <v>11</v>
      </c>
      <c r="B9" s="14">
        <v>3200000</v>
      </c>
      <c r="C9" s="14">
        <v>3800000</v>
      </c>
      <c r="D9" s="14">
        <v>4500000</v>
      </c>
    </row>
    <row r="10" spans="1:6" ht="18" customHeight="1" x14ac:dyDescent="0.3">
      <c r="A10" s="13" t="s">
        <v>12</v>
      </c>
      <c r="B10" s="14">
        <v>1500000</v>
      </c>
      <c r="C10" s="14">
        <v>1900000</v>
      </c>
      <c r="D10" s="14">
        <v>2400000</v>
      </c>
    </row>
    <row r="11" spans="1:6" ht="18" customHeight="1" x14ac:dyDescent="0.3">
      <c r="A11" s="13" t="s">
        <v>13</v>
      </c>
      <c r="B11" s="14">
        <v>800000</v>
      </c>
      <c r="C11" s="14">
        <v>950000</v>
      </c>
      <c r="D11" s="14">
        <v>1100000</v>
      </c>
    </row>
    <row r="12" spans="1:6" ht="18" customHeight="1" x14ac:dyDescent="0.3">
      <c r="A12" s="13" t="s">
        <v>14</v>
      </c>
      <c r="B12" s="15"/>
      <c r="C12" s="15">
        <v>0.17499999999999999</v>
      </c>
      <c r="D12" s="15">
        <v>0.193</v>
      </c>
    </row>
    <row r="14" spans="1:6" ht="21.75" customHeight="1" x14ac:dyDescent="0.3">
      <c r="A14" s="4" t="s">
        <v>15</v>
      </c>
      <c r="B14" s="4"/>
      <c r="C14" s="4"/>
      <c r="D14" s="4"/>
      <c r="E14" s="4"/>
      <c r="F14" s="4"/>
    </row>
    <row r="15" spans="1:6" x14ac:dyDescent="0.3">
      <c r="B15" s="12" t="s">
        <v>8</v>
      </c>
      <c r="C15" s="12" t="s">
        <v>9</v>
      </c>
      <c r="D15" s="12" t="s">
        <v>10</v>
      </c>
    </row>
    <row r="16" spans="1:6" ht="18" customHeight="1" x14ac:dyDescent="0.3">
      <c r="A16" s="13" t="s">
        <v>16</v>
      </c>
      <c r="B16" s="16">
        <v>0.38</v>
      </c>
      <c r="C16" s="16">
        <v>0.36</v>
      </c>
      <c r="D16" s="16">
        <v>0.34</v>
      </c>
    </row>
    <row r="17" spans="1:6" ht="18" customHeight="1" x14ac:dyDescent="0.3">
      <c r="A17" s="13" t="s">
        <v>17</v>
      </c>
      <c r="B17" s="16">
        <v>0.22</v>
      </c>
      <c r="C17" s="16">
        <v>0.21</v>
      </c>
      <c r="D17" s="16">
        <v>0.2</v>
      </c>
    </row>
    <row r="18" spans="1:6" ht="18" customHeight="1" x14ac:dyDescent="0.3">
      <c r="A18" s="13" t="s">
        <v>18</v>
      </c>
      <c r="B18" s="16">
        <v>0.05</v>
      </c>
      <c r="C18" s="16">
        <v>0.05</v>
      </c>
      <c r="D18" s="16">
        <v>0.04</v>
      </c>
    </row>
    <row r="19" spans="1:6" ht="18" customHeight="1" x14ac:dyDescent="0.3">
      <c r="A19" s="13" t="s">
        <v>19</v>
      </c>
      <c r="B19" s="16">
        <v>0.03</v>
      </c>
      <c r="C19" s="16">
        <v>0.04</v>
      </c>
      <c r="D19" s="16">
        <v>0.04</v>
      </c>
    </row>
    <row r="20" spans="1:6" ht="18" customHeight="1" x14ac:dyDescent="0.3">
      <c r="A20" s="13" t="s">
        <v>20</v>
      </c>
      <c r="B20" s="16">
        <v>0.04</v>
      </c>
      <c r="C20" s="16">
        <v>0.04</v>
      </c>
      <c r="D20" s="16">
        <v>0.03</v>
      </c>
    </row>
    <row r="21" spans="1:6" ht="18" customHeight="1" x14ac:dyDescent="0.3">
      <c r="A21" s="13" t="s">
        <v>21</v>
      </c>
      <c r="B21" s="16">
        <v>0.02</v>
      </c>
      <c r="C21" s="16">
        <v>0.02</v>
      </c>
      <c r="D21" s="16">
        <v>0.02</v>
      </c>
    </row>
    <row r="23" spans="1:6" ht="21.75" customHeight="1" x14ac:dyDescent="0.3">
      <c r="A23" s="4" t="s">
        <v>22</v>
      </c>
      <c r="B23" s="4"/>
      <c r="C23" s="4"/>
      <c r="D23" s="4"/>
      <c r="E23" s="4"/>
      <c r="F23" s="4"/>
    </row>
    <row r="24" spans="1:6" x14ac:dyDescent="0.3">
      <c r="B24" s="12" t="s">
        <v>8</v>
      </c>
      <c r="C24" s="12" t="s">
        <v>9</v>
      </c>
      <c r="D24" s="12" t="s">
        <v>10</v>
      </c>
    </row>
    <row r="25" spans="1:6" ht="18" customHeight="1" x14ac:dyDescent="0.3">
      <c r="A25" s="13" t="s">
        <v>23</v>
      </c>
      <c r="B25" s="16">
        <v>0.25</v>
      </c>
      <c r="C25" s="16">
        <v>0.25</v>
      </c>
      <c r="D25" s="16">
        <v>0.25</v>
      </c>
    </row>
    <row r="26" spans="1:6" ht="18" customHeight="1" x14ac:dyDescent="0.3">
      <c r="A26" s="13" t="s">
        <v>24</v>
      </c>
      <c r="B26" s="14">
        <v>80000</v>
      </c>
      <c r="C26" s="14">
        <v>70000</v>
      </c>
      <c r="D26" s="14">
        <v>60000</v>
      </c>
    </row>
    <row r="28" spans="1:6" x14ac:dyDescent="0.3">
      <c r="A28" s="3" t="s">
        <v>25</v>
      </c>
      <c r="B28" s="3"/>
      <c r="C28" s="3"/>
      <c r="D28" s="3"/>
      <c r="E28" s="3"/>
      <c r="F28" s="3"/>
    </row>
  </sheetData>
  <mergeCells count="7">
    <mergeCell ref="A23:F23"/>
    <mergeCell ref="A28:F28"/>
    <mergeCell ref="A1:F1"/>
    <mergeCell ref="A2:F2"/>
    <mergeCell ref="A4:F4"/>
    <mergeCell ref="A7:F7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F40"/>
  <sheetViews>
    <sheetView showGridLines="0" zoomScaleNormal="100" workbookViewId="0"/>
  </sheetViews>
  <sheetFormatPr defaultColWidth="8.6640625" defaultRowHeight="14.4" x14ac:dyDescent="0.3"/>
  <cols>
    <col min="1" max="1" width="36" customWidth="1"/>
    <col min="2" max="4" width="18" customWidth="1"/>
  </cols>
  <sheetData>
    <row r="1" spans="1:6" ht="36" customHeight="1" x14ac:dyDescent="0.3">
      <c r="A1" s="7" t="s">
        <v>26</v>
      </c>
      <c r="B1" s="7"/>
      <c r="C1" s="7"/>
      <c r="D1" s="7"/>
    </row>
    <row r="2" spans="1:6" ht="19.5" customHeight="1" x14ac:dyDescent="0.3">
      <c r="A2" s="2" t="s">
        <v>27</v>
      </c>
      <c r="B2" s="2"/>
      <c r="C2" s="2"/>
      <c r="D2" s="2"/>
    </row>
    <row r="4" spans="1:6" ht="21.75" customHeight="1" x14ac:dyDescent="0.3">
      <c r="A4" s="17" t="s">
        <v>28</v>
      </c>
      <c r="B4" s="12" t="s">
        <v>8</v>
      </c>
      <c r="C4" s="12" t="s">
        <v>9</v>
      </c>
      <c r="D4" s="12" t="s">
        <v>10</v>
      </c>
    </row>
    <row r="5" spans="1:6" ht="21.75" customHeight="1" x14ac:dyDescent="0.3">
      <c r="A5" s="4" t="s">
        <v>29</v>
      </c>
      <c r="B5" s="4"/>
      <c r="C5" s="4"/>
      <c r="D5" s="4"/>
      <c r="E5" s="4"/>
      <c r="F5" s="4"/>
    </row>
    <row r="6" spans="1:6" ht="18" customHeight="1" x14ac:dyDescent="0.3">
      <c r="A6" s="18" t="s">
        <v>30</v>
      </c>
      <c r="B6" s="19">
        <f>Assumptions!B9</f>
        <v>3200000</v>
      </c>
      <c r="C6" s="19">
        <f>Assumptions!C9</f>
        <v>3800000</v>
      </c>
      <c r="D6" s="19">
        <f>Assumptions!D9</f>
        <v>4500000</v>
      </c>
    </row>
    <row r="7" spans="1:6" ht="18" customHeight="1" x14ac:dyDescent="0.3">
      <c r="A7" s="18" t="s">
        <v>31</v>
      </c>
      <c r="B7" s="19">
        <f>Assumptions!B10</f>
        <v>1500000</v>
      </c>
      <c r="C7" s="19">
        <f>Assumptions!C10</f>
        <v>1900000</v>
      </c>
      <c r="D7" s="19">
        <f>Assumptions!D10</f>
        <v>2400000</v>
      </c>
    </row>
    <row r="8" spans="1:6" ht="18" customHeight="1" x14ac:dyDescent="0.3">
      <c r="A8" s="18" t="s">
        <v>32</v>
      </c>
      <c r="B8" s="19">
        <f>Assumptions!B11</f>
        <v>800000</v>
      </c>
      <c r="C8" s="19">
        <f>Assumptions!C11</f>
        <v>950000</v>
      </c>
      <c r="D8" s="19">
        <f>Assumptions!D11</f>
        <v>1100000</v>
      </c>
    </row>
    <row r="9" spans="1:6" ht="18" customHeight="1" x14ac:dyDescent="0.3">
      <c r="A9" s="20" t="s">
        <v>33</v>
      </c>
      <c r="B9" s="21">
        <f>SUM(B6:B8)</f>
        <v>5500000</v>
      </c>
      <c r="C9" s="21">
        <f>SUM(C6:C8)</f>
        <v>6650000</v>
      </c>
      <c r="D9" s="21">
        <f>SUM(D6:D8)</f>
        <v>8000000</v>
      </c>
    </row>
    <row r="10" spans="1:6" ht="18" customHeight="1" x14ac:dyDescent="0.3">
      <c r="A10" s="22" t="s">
        <v>34</v>
      </c>
      <c r="B10" s="23" t="str">
        <f>"-"</f>
        <v>-</v>
      </c>
      <c r="C10" s="23">
        <f>IFERROR((C9-B9)/B9,"-")</f>
        <v>0.20909090909090908</v>
      </c>
      <c r="D10" s="23">
        <f>IFERROR((D9-C9)/C9,"-")</f>
        <v>0.20300751879699247</v>
      </c>
    </row>
    <row r="11" spans="1:6" ht="7.5" customHeight="1" x14ac:dyDescent="0.3"/>
    <row r="12" spans="1:6" ht="21.75" customHeight="1" x14ac:dyDescent="0.3">
      <c r="A12" s="4" t="s">
        <v>35</v>
      </c>
      <c r="B12" s="4"/>
      <c r="C12" s="4"/>
      <c r="D12" s="4"/>
      <c r="E12" s="4"/>
      <c r="F12" s="4"/>
    </row>
    <row r="13" spans="1:6" ht="18" customHeight="1" x14ac:dyDescent="0.3">
      <c r="A13" s="13" t="s">
        <v>36</v>
      </c>
      <c r="B13" s="24">
        <f>B9*Assumptions!B16</f>
        <v>2090000</v>
      </c>
      <c r="C13" s="24">
        <f>C9*Assumptions!C16</f>
        <v>2394000</v>
      </c>
      <c r="D13" s="24">
        <f>D9*Assumptions!D16</f>
        <v>2720000</v>
      </c>
    </row>
    <row r="14" spans="1:6" ht="18" customHeight="1" x14ac:dyDescent="0.3">
      <c r="A14" s="13" t="s">
        <v>37</v>
      </c>
      <c r="B14" s="24">
        <f>B9*Assumptions!B17</f>
        <v>1210000</v>
      </c>
      <c r="C14" s="24">
        <f>C9*Assumptions!C17</f>
        <v>1396500</v>
      </c>
      <c r="D14" s="24">
        <f>D9*Assumptions!D17</f>
        <v>1600000</v>
      </c>
    </row>
    <row r="15" spans="1:6" ht="18" customHeight="1" x14ac:dyDescent="0.3">
      <c r="A15" s="25" t="s">
        <v>38</v>
      </c>
      <c r="B15" s="26">
        <f>SUM(B13:B14)</f>
        <v>3300000</v>
      </c>
      <c r="C15" s="26">
        <f>SUM(C13:C14)</f>
        <v>3790500</v>
      </c>
      <c r="D15" s="26">
        <f>SUM(D13:D14)</f>
        <v>4320000</v>
      </c>
    </row>
    <row r="16" spans="1:6" ht="7.5" customHeight="1" x14ac:dyDescent="0.3"/>
    <row r="17" spans="1:6" ht="18" customHeight="1" x14ac:dyDescent="0.3">
      <c r="A17" s="27" t="s">
        <v>39</v>
      </c>
      <c r="B17" s="28">
        <f>B9-B15</f>
        <v>2200000</v>
      </c>
      <c r="C17" s="28">
        <f>C9-C15</f>
        <v>2859500</v>
      </c>
      <c r="D17" s="28">
        <f>D9-D15</f>
        <v>3680000</v>
      </c>
    </row>
    <row r="18" spans="1:6" ht="18" customHeight="1" x14ac:dyDescent="0.3">
      <c r="A18" s="22" t="s">
        <v>40</v>
      </c>
      <c r="B18" s="29">
        <f>IFERROR(B17/B9,0)</f>
        <v>0.4</v>
      </c>
      <c r="C18" s="29">
        <f>IFERROR(C17/C9,0)</f>
        <v>0.43</v>
      </c>
      <c r="D18" s="29">
        <f>IFERROR(D17/D9,0)</f>
        <v>0.46</v>
      </c>
    </row>
    <row r="19" spans="1:6" ht="7.5" customHeight="1" x14ac:dyDescent="0.3"/>
    <row r="20" spans="1:6" ht="21.75" customHeight="1" x14ac:dyDescent="0.3">
      <c r="A20" s="4" t="s">
        <v>41</v>
      </c>
      <c r="B20" s="4"/>
      <c r="C20" s="4"/>
      <c r="D20" s="4"/>
      <c r="E20" s="4"/>
      <c r="F20" s="4"/>
    </row>
    <row r="21" spans="1:6" ht="18" customHeight="1" x14ac:dyDescent="0.3">
      <c r="A21" s="13" t="s">
        <v>42</v>
      </c>
      <c r="B21" s="24">
        <f>B9*Assumptions!B18</f>
        <v>275000</v>
      </c>
      <c r="C21" s="24">
        <f>C9*Assumptions!C18</f>
        <v>332500</v>
      </c>
      <c r="D21" s="24">
        <f>D9*Assumptions!D18</f>
        <v>320000</v>
      </c>
    </row>
    <row r="22" spans="1:6" ht="18" customHeight="1" x14ac:dyDescent="0.3">
      <c r="A22" s="13" t="s">
        <v>43</v>
      </c>
      <c r="B22" s="24">
        <f>B9*Assumptions!B19</f>
        <v>165000</v>
      </c>
      <c r="C22" s="24">
        <f>C9*Assumptions!C19</f>
        <v>266000</v>
      </c>
      <c r="D22" s="24">
        <f>D9*Assumptions!D19</f>
        <v>320000</v>
      </c>
    </row>
    <row r="23" spans="1:6" ht="18" customHeight="1" x14ac:dyDescent="0.3">
      <c r="A23" s="13" t="s">
        <v>44</v>
      </c>
      <c r="B23" s="24">
        <f>B9*Assumptions!B20</f>
        <v>220000</v>
      </c>
      <c r="C23" s="24">
        <f>C9*Assumptions!C20</f>
        <v>266000</v>
      </c>
      <c r="D23" s="24">
        <f>D9*Assumptions!D20</f>
        <v>240000</v>
      </c>
    </row>
    <row r="24" spans="1:6" ht="18" customHeight="1" x14ac:dyDescent="0.3">
      <c r="A24" s="13" t="s">
        <v>45</v>
      </c>
      <c r="B24" s="24">
        <f>B9*Assumptions!B21</f>
        <v>110000</v>
      </c>
      <c r="C24" s="24">
        <f>C9*Assumptions!C21</f>
        <v>133000</v>
      </c>
      <c r="D24" s="24">
        <f>D9*Assumptions!D21</f>
        <v>160000</v>
      </c>
    </row>
    <row r="25" spans="1:6" ht="18" customHeight="1" x14ac:dyDescent="0.3">
      <c r="A25" s="25" t="s">
        <v>46</v>
      </c>
      <c r="B25" s="26">
        <f>SUM(B21:B24)</f>
        <v>770000</v>
      </c>
      <c r="C25" s="26">
        <f>SUM(C21:C24)</f>
        <v>997500</v>
      </c>
      <c r="D25" s="26">
        <f>SUM(D21:D24)</f>
        <v>1040000</v>
      </c>
    </row>
    <row r="26" spans="1:6" ht="7.5" customHeight="1" x14ac:dyDescent="0.3"/>
    <row r="27" spans="1:6" ht="18" customHeight="1" x14ac:dyDescent="0.3">
      <c r="A27" s="20" t="s">
        <v>47</v>
      </c>
      <c r="B27" s="21">
        <f>B17-B25+B24</f>
        <v>1540000</v>
      </c>
      <c r="C27" s="21">
        <f>C17-C25+C24</f>
        <v>1995000</v>
      </c>
      <c r="D27" s="21">
        <f>D17-D25+D24</f>
        <v>2800000</v>
      </c>
    </row>
    <row r="28" spans="1:6" ht="18" customHeight="1" x14ac:dyDescent="0.3">
      <c r="A28" s="22" t="s">
        <v>48</v>
      </c>
      <c r="B28" s="29">
        <f>IFERROR(B27/B9,0)</f>
        <v>0.28000000000000003</v>
      </c>
      <c r="C28" s="29">
        <f>IFERROR(C27/C9,0)</f>
        <v>0.3</v>
      </c>
      <c r="D28" s="29">
        <f>IFERROR(D27/D9,0)</f>
        <v>0.35</v>
      </c>
    </row>
    <row r="29" spans="1:6" ht="18" customHeight="1" x14ac:dyDescent="0.3">
      <c r="A29" s="20" t="s">
        <v>49</v>
      </c>
      <c r="B29" s="21">
        <f>B17-B25</f>
        <v>1430000</v>
      </c>
      <c r="C29" s="21">
        <f>C17-C25</f>
        <v>1862000</v>
      </c>
      <c r="D29" s="21">
        <f>D17-D25</f>
        <v>2640000</v>
      </c>
    </row>
    <row r="30" spans="1:6" ht="18" customHeight="1" x14ac:dyDescent="0.3">
      <c r="A30" s="22" t="s">
        <v>50</v>
      </c>
      <c r="B30" s="29">
        <f>IFERROR(B29/B9,0)</f>
        <v>0.26</v>
      </c>
      <c r="C30" s="29">
        <f>IFERROR(C29/C9,0)</f>
        <v>0.28000000000000003</v>
      </c>
      <c r="D30" s="29">
        <f>IFERROR(D29/D9,0)</f>
        <v>0.33</v>
      </c>
    </row>
    <row r="31" spans="1:6" ht="7.5" customHeight="1" x14ac:dyDescent="0.3"/>
    <row r="32" spans="1:6" ht="21.75" customHeight="1" x14ac:dyDescent="0.3">
      <c r="A32" s="4" t="s">
        <v>51</v>
      </c>
      <c r="B32" s="4"/>
      <c r="C32" s="4"/>
      <c r="D32" s="4"/>
      <c r="E32" s="4"/>
      <c r="F32" s="4"/>
    </row>
    <row r="33" spans="1:4" ht="18" customHeight="1" x14ac:dyDescent="0.3">
      <c r="A33" s="18" t="s">
        <v>52</v>
      </c>
      <c r="B33" s="19">
        <f>Assumptions!B26</f>
        <v>80000</v>
      </c>
      <c r="C33" s="19">
        <f>Assumptions!C26</f>
        <v>70000</v>
      </c>
      <c r="D33" s="19">
        <f>Assumptions!D26</f>
        <v>60000</v>
      </c>
    </row>
    <row r="34" spans="1:4" ht="18" customHeight="1" x14ac:dyDescent="0.3">
      <c r="A34" s="20" t="s">
        <v>53</v>
      </c>
      <c r="B34" s="21">
        <f>B29-B33</f>
        <v>1350000</v>
      </c>
      <c r="C34" s="21">
        <f>C29-C33</f>
        <v>1792000</v>
      </c>
      <c r="D34" s="21">
        <f>D29-D33</f>
        <v>2580000</v>
      </c>
    </row>
    <row r="35" spans="1:4" ht="18" customHeight="1" x14ac:dyDescent="0.3">
      <c r="A35" s="18" t="s">
        <v>54</v>
      </c>
      <c r="B35" s="19">
        <f>B34*Assumptions!B25</f>
        <v>337500</v>
      </c>
      <c r="C35" s="19">
        <f>C34*Assumptions!C25</f>
        <v>448000</v>
      </c>
      <c r="D35" s="19">
        <f>D34*Assumptions!D25</f>
        <v>645000</v>
      </c>
    </row>
    <row r="36" spans="1:4" ht="7.5" customHeight="1" x14ac:dyDescent="0.3"/>
    <row r="37" spans="1:4" ht="25.5" customHeight="1" x14ac:dyDescent="0.3">
      <c r="A37" s="30" t="s">
        <v>55</v>
      </c>
      <c r="B37" s="31">
        <f>B34-B35</f>
        <v>1012500</v>
      </c>
      <c r="C37" s="31">
        <f>C34-C35</f>
        <v>1344000</v>
      </c>
      <c r="D37" s="31">
        <f>D34-D35</f>
        <v>1935000</v>
      </c>
    </row>
    <row r="38" spans="1:4" ht="18" customHeight="1" x14ac:dyDescent="0.3">
      <c r="A38" s="22" t="s">
        <v>56</v>
      </c>
      <c r="B38" s="29">
        <f>IFERROR(B37/B9,0)</f>
        <v>0.18409090909090908</v>
      </c>
      <c r="C38" s="29">
        <f>IFERROR(C37/C9,0)</f>
        <v>0.20210526315789473</v>
      </c>
      <c r="D38" s="29">
        <f>IFERROR(D37/D9,0)</f>
        <v>0.24187500000000001</v>
      </c>
    </row>
    <row r="40" spans="1:4" x14ac:dyDescent="0.3">
      <c r="A40" s="3" t="s">
        <v>57</v>
      </c>
      <c r="B40" s="3"/>
      <c r="C40" s="3"/>
      <c r="D40" s="3"/>
    </row>
  </sheetData>
  <mergeCells count="7">
    <mergeCell ref="A32:F32"/>
    <mergeCell ref="A40:D40"/>
    <mergeCell ref="A1:D1"/>
    <mergeCell ref="A2:D2"/>
    <mergeCell ref="A5:F5"/>
    <mergeCell ref="A12:F12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F16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4" width="20" customWidth="1"/>
  </cols>
  <sheetData>
    <row r="1" spans="1:6" ht="36" customHeight="1" x14ac:dyDescent="0.3">
      <c r="A1" s="7" t="s">
        <v>58</v>
      </c>
      <c r="B1" s="7"/>
      <c r="C1" s="7"/>
      <c r="D1" s="7"/>
    </row>
    <row r="3" spans="1:6" x14ac:dyDescent="0.3">
      <c r="A3" s="17" t="s">
        <v>59</v>
      </c>
      <c r="B3" s="12" t="s">
        <v>60</v>
      </c>
      <c r="C3" s="12" t="s">
        <v>61</v>
      </c>
      <c r="D3" s="12" t="s">
        <v>62</v>
      </c>
    </row>
    <row r="4" spans="1:6" ht="21.75" customHeight="1" x14ac:dyDescent="0.3">
      <c r="A4" s="4" t="s">
        <v>63</v>
      </c>
      <c r="B4" s="4"/>
      <c r="C4" s="4"/>
      <c r="D4" s="4"/>
      <c r="E4" s="4"/>
      <c r="F4" s="4"/>
    </row>
    <row r="5" spans="1:6" ht="19.5" customHeight="1" x14ac:dyDescent="0.3">
      <c r="A5" s="13" t="s">
        <v>64</v>
      </c>
      <c r="B5" s="32">
        <v>0.08</v>
      </c>
      <c r="C5" s="33">
        <v>0.17499999999999999</v>
      </c>
      <c r="D5" s="34">
        <v>0.28000000000000003</v>
      </c>
    </row>
    <row r="6" spans="1:6" ht="19.5" customHeight="1" x14ac:dyDescent="0.3">
      <c r="A6" s="13" t="s">
        <v>65</v>
      </c>
      <c r="B6" s="32">
        <v>0.36</v>
      </c>
      <c r="C6" s="33">
        <v>0.4</v>
      </c>
      <c r="D6" s="34">
        <v>0.44</v>
      </c>
    </row>
    <row r="7" spans="1:6" ht="19.5" customHeight="1" x14ac:dyDescent="0.3">
      <c r="A7" s="13" t="s">
        <v>66</v>
      </c>
      <c r="B7" s="32">
        <v>0.18</v>
      </c>
      <c r="C7" s="33">
        <v>0.15</v>
      </c>
      <c r="D7" s="34">
        <v>0.12</v>
      </c>
    </row>
    <row r="9" spans="1:6" ht="21.75" customHeight="1" x14ac:dyDescent="0.3">
      <c r="A9" s="4" t="s">
        <v>67</v>
      </c>
      <c r="B9" s="4"/>
      <c r="C9" s="4"/>
      <c r="D9" s="4"/>
      <c r="E9" s="4"/>
      <c r="F9" s="4"/>
    </row>
    <row r="10" spans="1:6" ht="19.5" customHeight="1" x14ac:dyDescent="0.3">
      <c r="A10" s="13" t="s">
        <v>68</v>
      </c>
      <c r="B10" s="35">
        <f>(5500000)*(1+B5)</f>
        <v>5940000</v>
      </c>
      <c r="C10" s="36">
        <f>(5500000)*(1+C5)</f>
        <v>6462500</v>
      </c>
      <c r="D10" s="37">
        <f>(5500000)*(1+D5)</f>
        <v>7040000</v>
      </c>
    </row>
    <row r="11" spans="1:6" ht="19.5" customHeight="1" x14ac:dyDescent="0.3">
      <c r="A11" s="13" t="s">
        <v>69</v>
      </c>
      <c r="B11" s="35">
        <f>B10*B6</f>
        <v>2138400</v>
      </c>
      <c r="C11" s="36">
        <f>C10*C6</f>
        <v>2585000</v>
      </c>
      <c r="D11" s="37">
        <f>D10*D6</f>
        <v>3097600</v>
      </c>
    </row>
    <row r="12" spans="1:6" ht="19.5" customHeight="1" x14ac:dyDescent="0.3">
      <c r="A12" s="13" t="s">
        <v>70</v>
      </c>
      <c r="B12" s="38">
        <f>B6</f>
        <v>0.36</v>
      </c>
      <c r="C12" s="39">
        <f>C6</f>
        <v>0.4</v>
      </c>
      <c r="D12" s="40">
        <f>D6</f>
        <v>0.44</v>
      </c>
    </row>
    <row r="13" spans="1:6" ht="19.5" customHeight="1" x14ac:dyDescent="0.3">
      <c r="A13" s="13" t="s">
        <v>71</v>
      </c>
      <c r="B13" s="35">
        <f>B10*B7</f>
        <v>1069200</v>
      </c>
      <c r="C13" s="36">
        <f>C10*C7</f>
        <v>969375</v>
      </c>
      <c r="D13" s="37">
        <f>D10*D7</f>
        <v>844800</v>
      </c>
    </row>
    <row r="14" spans="1:6" ht="19.5" customHeight="1" x14ac:dyDescent="0.3">
      <c r="A14" s="13" t="s">
        <v>72</v>
      </c>
      <c r="B14" s="35">
        <f>B11-B13</f>
        <v>1069200</v>
      </c>
      <c r="C14" s="36">
        <f>C11-C13</f>
        <v>1615625</v>
      </c>
      <c r="D14" s="37">
        <f>D11-D13</f>
        <v>2252800</v>
      </c>
    </row>
    <row r="15" spans="1:6" ht="19.5" customHeight="1" x14ac:dyDescent="0.3">
      <c r="A15" s="41" t="s">
        <v>73</v>
      </c>
      <c r="B15" s="42">
        <f>B14*(1-0.25)</f>
        <v>801900</v>
      </c>
      <c r="C15" s="43">
        <f>C14*(1-0.25)</f>
        <v>1211718.75</v>
      </c>
      <c r="D15" s="44">
        <f>D14*(1-0.25)</f>
        <v>1689600</v>
      </c>
    </row>
    <row r="16" spans="1:6" ht="19.5" customHeight="1" x14ac:dyDescent="0.3">
      <c r="A16" s="13" t="s">
        <v>74</v>
      </c>
      <c r="B16" s="38">
        <f>IFERROR(B15/B10,0)</f>
        <v>0.13500000000000001</v>
      </c>
      <c r="C16" s="39">
        <f>IFERROR(C15/C10,0)</f>
        <v>0.1875</v>
      </c>
      <c r="D16" s="40">
        <f>IFERROR(D15/D10,0)</f>
        <v>0.24</v>
      </c>
    </row>
  </sheetData>
  <mergeCells count="3">
    <mergeCell ref="A1:D1"/>
    <mergeCell ref="A4:F4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A6B"/>
  </sheetPr>
  <dimension ref="A1:N30"/>
  <sheetViews>
    <sheetView showGridLines="0" tabSelected="1" zoomScaleNormal="100" workbookViewId="0">
      <selection sqref="A1:N1"/>
    </sheetView>
  </sheetViews>
  <sheetFormatPr defaultColWidth="8.6640625" defaultRowHeight="14.4" x14ac:dyDescent="0.3"/>
  <cols>
    <col min="1" max="1" width="4" customWidth="1"/>
  </cols>
  <sheetData>
    <row r="1" spans="1:14" ht="36" customHeight="1" x14ac:dyDescent="0.3">
      <c r="A1" s="7" t="s">
        <v>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9.5" customHeight="1" x14ac:dyDescent="0.3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21.75" customHeight="1" x14ac:dyDescent="0.3">
      <c r="B4" s="1" t="s">
        <v>77</v>
      </c>
      <c r="C4" s="1"/>
      <c r="D4" s="1"/>
      <c r="E4" s="1" t="s">
        <v>78</v>
      </c>
      <c r="F4" s="1"/>
      <c r="G4" s="1"/>
      <c r="H4" s="1" t="s">
        <v>79</v>
      </c>
      <c r="I4" s="1"/>
      <c r="J4" s="1"/>
      <c r="K4" s="1" t="s">
        <v>80</v>
      </c>
      <c r="L4" s="1"/>
      <c r="M4" s="1"/>
    </row>
    <row r="5" spans="1:14" ht="18" customHeight="1" x14ac:dyDescent="0.3">
      <c r="B5" s="45" t="s">
        <v>81</v>
      </c>
      <c r="C5" s="45" t="s">
        <v>82</v>
      </c>
      <c r="D5" s="45" t="s">
        <v>83</v>
      </c>
      <c r="E5" s="45" t="s">
        <v>81</v>
      </c>
      <c r="F5" s="45" t="s">
        <v>82</v>
      </c>
      <c r="G5" s="45" t="s">
        <v>83</v>
      </c>
      <c r="H5" s="45" t="s">
        <v>81</v>
      </c>
      <c r="I5" s="45" t="s">
        <v>82</v>
      </c>
      <c r="J5" s="45" t="s">
        <v>83</v>
      </c>
      <c r="K5" s="45" t="s">
        <v>81</v>
      </c>
      <c r="L5" s="45" t="s">
        <v>82</v>
      </c>
      <c r="M5" s="45" t="s">
        <v>83</v>
      </c>
    </row>
    <row r="6" spans="1:14" ht="24" customHeight="1" x14ac:dyDescent="0.3">
      <c r="B6" s="46">
        <f>'P&amp;L Model'!B9</f>
        <v>5500000</v>
      </c>
      <c r="C6" s="46">
        <f>'P&amp;L Model'!C9</f>
        <v>6650000</v>
      </c>
      <c r="D6" s="46">
        <f>'P&amp;L Model'!D9</f>
        <v>8000000</v>
      </c>
      <c r="E6" s="46">
        <f>'P&amp;L Model'!B17</f>
        <v>2200000</v>
      </c>
      <c r="F6" s="46">
        <f>'P&amp;L Model'!C17</f>
        <v>2859500</v>
      </c>
      <c r="G6" s="46">
        <f>'P&amp;L Model'!D17</f>
        <v>3680000</v>
      </c>
      <c r="H6" s="46">
        <f>'P&amp;L Model'!B29</f>
        <v>1430000</v>
      </c>
      <c r="I6" s="46">
        <f>'P&amp;L Model'!C29</f>
        <v>1862000</v>
      </c>
      <c r="J6" s="46">
        <f>'P&amp;L Model'!D29</f>
        <v>2640000</v>
      </c>
      <c r="K6" s="46">
        <f>'P&amp;L Model'!B37</f>
        <v>1012500</v>
      </c>
      <c r="L6" s="46">
        <f>'P&amp;L Model'!C37</f>
        <v>1344000</v>
      </c>
      <c r="M6" s="46">
        <f>'P&amp;L Model'!D37</f>
        <v>1935000</v>
      </c>
    </row>
    <row r="9" spans="1:14" x14ac:dyDescent="0.3">
      <c r="B9" s="47" t="s">
        <v>8</v>
      </c>
      <c r="C9" s="47" t="s">
        <v>9</v>
      </c>
      <c r="D9" s="47" t="s">
        <v>10</v>
      </c>
    </row>
    <row r="10" spans="1:14" x14ac:dyDescent="0.3">
      <c r="A10" s="48" t="s">
        <v>77</v>
      </c>
      <c r="B10" s="49">
        <f>'P&amp;L Model'!B9</f>
        <v>5500000</v>
      </c>
      <c r="C10" s="49">
        <f>'P&amp;L Model'!C9</f>
        <v>6650000</v>
      </c>
      <c r="D10" s="49">
        <f>'P&amp;L Model'!D9</f>
        <v>8000000</v>
      </c>
    </row>
    <row r="11" spans="1:14" x14ac:dyDescent="0.3">
      <c r="A11" s="48" t="s">
        <v>78</v>
      </c>
      <c r="B11" s="49">
        <f>'P&amp;L Model'!B17</f>
        <v>2200000</v>
      </c>
      <c r="C11" s="49">
        <f>'P&amp;L Model'!C17</f>
        <v>2859500</v>
      </c>
      <c r="D11" s="49">
        <f>'P&amp;L Model'!D17</f>
        <v>3680000</v>
      </c>
    </row>
    <row r="12" spans="1:14" x14ac:dyDescent="0.3">
      <c r="A12" s="48" t="s">
        <v>79</v>
      </c>
      <c r="B12" s="49">
        <f>'P&amp;L Model'!B29</f>
        <v>1430000</v>
      </c>
      <c r="C12" s="49">
        <f>'P&amp;L Model'!C29</f>
        <v>1862000</v>
      </c>
      <c r="D12" s="49">
        <f>'P&amp;L Model'!D29</f>
        <v>2640000</v>
      </c>
    </row>
    <row r="13" spans="1:14" x14ac:dyDescent="0.3">
      <c r="A13" s="48" t="s">
        <v>80</v>
      </c>
      <c r="B13" s="49">
        <f>'P&amp;L Model'!B37</f>
        <v>1012500</v>
      </c>
      <c r="C13" s="49">
        <f>'P&amp;L Model'!C37</f>
        <v>1344000</v>
      </c>
      <c r="D13" s="49">
        <f>'P&amp;L Model'!D37</f>
        <v>1935000</v>
      </c>
    </row>
    <row r="27" spans="1:4" x14ac:dyDescent="0.3">
      <c r="B27" s="50" t="s">
        <v>8</v>
      </c>
      <c r="C27" s="50" t="s">
        <v>9</v>
      </c>
      <c r="D27" s="50" t="s">
        <v>10</v>
      </c>
    </row>
    <row r="28" spans="1:4" x14ac:dyDescent="0.3">
      <c r="A28" s="51" t="s">
        <v>84</v>
      </c>
      <c r="B28" s="52">
        <f>'P&amp;L Model'!B18</f>
        <v>0.4</v>
      </c>
      <c r="C28" s="52">
        <f>'P&amp;L Model'!C18</f>
        <v>0.43</v>
      </c>
      <c r="D28" s="52">
        <f>'P&amp;L Model'!D18</f>
        <v>0.46</v>
      </c>
    </row>
    <row r="29" spans="1:4" x14ac:dyDescent="0.3">
      <c r="A29" s="51" t="s">
        <v>85</v>
      </c>
      <c r="B29" s="52">
        <f>'P&amp;L Model'!B30</f>
        <v>0.26</v>
      </c>
      <c r="C29" s="52">
        <f>'P&amp;L Model'!C30</f>
        <v>0.28000000000000003</v>
      </c>
      <c r="D29" s="52">
        <f>'P&amp;L Model'!D30</f>
        <v>0.33</v>
      </c>
    </row>
    <row r="30" spans="1:4" x14ac:dyDescent="0.3">
      <c r="A30" s="51" t="s">
        <v>86</v>
      </c>
      <c r="B30" s="52">
        <f>'P&amp;L Model'!B38</f>
        <v>0.18409090909090908</v>
      </c>
      <c r="C30" s="52">
        <f>'P&amp;L Model'!C38</f>
        <v>0.20210526315789473</v>
      </c>
      <c r="D30" s="52">
        <f>'P&amp;L Model'!D38</f>
        <v>0.24187500000000001</v>
      </c>
    </row>
  </sheetData>
  <mergeCells count="6">
    <mergeCell ref="A1:N1"/>
    <mergeCell ref="A2:N2"/>
    <mergeCell ref="B4:D4"/>
    <mergeCell ref="E4:G4"/>
    <mergeCell ref="H4:J4"/>
    <mergeCell ref="K4:M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P&amp;L Model</vt:lpstr>
      <vt:lpstr>Scenario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Arvind</cp:lastModifiedBy>
  <cp:revision>1</cp:revision>
  <dcterms:created xsi:type="dcterms:W3CDTF">2026-04-21T04:58:22Z</dcterms:created>
  <dcterms:modified xsi:type="dcterms:W3CDTF">2026-04-21T05:10:38Z</dcterms:modified>
  <dc:language>en-US</dc:language>
</cp:coreProperties>
</file>